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op Sheet" sheetId="1" state="visible" r:id="rId1"/>
    <sheet xmlns:r="http://schemas.openxmlformats.org/officeDocument/2006/relationships" name="VFX Detail" sheetId="2" state="visible" r:id="rId2"/>
    <sheet xmlns:r="http://schemas.openxmlformats.org/officeDocument/2006/relationships" name="Schedul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$#,##0;($#,##0);&quot;-&quot;"/>
    <numFmt numFmtId="165" formatCode="0.0%"/>
  </numFmts>
  <fonts count="16">
    <font>
      <name val="Calibri"/>
      <family val="2"/>
      <color theme="1"/>
      <sz val="11"/>
      <scheme val="minor"/>
    </font>
    <font>
      <name val="Arial"/>
      <b val="1"/>
      <color rgb="00C9A84C"/>
      <sz val="16"/>
    </font>
    <font>
      <name val="Arial"/>
      <color rgb="007A7368"/>
      <sz val="9"/>
    </font>
    <font>
      <name val="Arial"/>
      <b val="1"/>
      <color rgb="00FFFFFF"/>
      <sz val="14"/>
    </font>
    <font>
      <name val="Arial"/>
      <b val="1"/>
      <color rgb="00C9A84C"/>
      <sz val="11"/>
    </font>
    <font>
      <name val="JetBrains Mono"/>
      <b val="1"/>
      <color rgb="00C9A84C"/>
      <sz val="10"/>
    </font>
    <font>
      <name val="Arial"/>
      <color rgb="00B0A99E"/>
      <sz val="10"/>
    </font>
    <font>
      <name val="Arial"/>
      <color rgb="000000FF"/>
      <sz val="10"/>
    </font>
    <font>
      <name val="Arial"/>
      <color rgb="00000000"/>
      <sz val="10"/>
    </font>
    <font>
      <name val="JetBrains Mono"/>
      <b val="1"/>
      <color rgb="00C4463A"/>
      <sz val="10"/>
    </font>
    <font>
      <name val="Arial"/>
      <b val="1"/>
      <color rgb="00C4463A"/>
      <sz val="10"/>
    </font>
    <font>
      <name val="Arial"/>
      <b val="1"/>
      <color rgb="00C9A84C"/>
      <sz val="14"/>
    </font>
    <font>
      <name val="JetBrains Mono"/>
      <color rgb="00E8E4DE"/>
      <sz val="10"/>
    </font>
    <font>
      <name val="Arial"/>
      <b val="1"/>
      <color rgb="005A9E6F"/>
      <sz val="10"/>
    </font>
    <font>
      <name val="Arial"/>
      <b val="1"/>
      <color rgb="00C9A84C"/>
      <sz val="10"/>
    </font>
    <font>
      <name val="Arial"/>
      <b val="1"/>
      <color rgb="00CF7A3A"/>
      <sz val="10"/>
    </font>
  </fonts>
  <fills count="6">
    <fill>
      <patternFill/>
    </fill>
    <fill>
      <patternFill patternType="gray125"/>
    </fill>
    <fill>
      <patternFill patternType="solid">
        <fgColor rgb="000f0e0d"/>
      </patternFill>
    </fill>
    <fill>
      <patternFill patternType="solid">
        <fgColor rgb="001a1a2e"/>
      </patternFill>
    </fill>
    <fill>
      <patternFill patternType="solid">
        <fgColor rgb="00262522"/>
      </patternFill>
    </fill>
    <fill>
      <patternFill patternType="solid">
        <fgColor rgb="00171614"/>
      </patternFill>
    </fill>
  </fills>
  <borders count="4">
    <border>
      <left/>
      <right/>
      <top/>
      <bottom/>
      <diagonal/>
    </border>
    <border>
      <bottom style="thin">
        <color rgb="00333333"/>
      </bottom>
    </border>
    <border>
      <top style="medium">
        <color rgb="00C9A84C"/>
      </top>
      <bottom style="medium">
        <color rgb="00C9A84C"/>
      </bottom>
    </border>
    <border>
      <top style="double">
        <color rgb="00C9A84C"/>
      </top>
      <bottom style="double">
        <color rgb="00C9A84C"/>
      </bottom>
    </border>
  </borders>
  <cellStyleXfs count="1">
    <xf numFmtId="0" fontId="0" fillId="0" borderId="0"/>
  </cellStyleXfs>
  <cellXfs count="38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2" borderId="0" pivotButton="0" quotePrefix="0" xfId="0"/>
    <xf numFmtId="0" fontId="2" fillId="2" borderId="0" applyAlignment="1" pivotButton="0" quotePrefix="0" xfId="0">
      <alignment horizontal="center"/>
    </xf>
    <xf numFmtId="0" fontId="3" fillId="3" borderId="0" applyAlignment="1" pivotButton="0" quotePrefix="0" xfId="0">
      <alignment horizontal="left"/>
    </xf>
    <xf numFmtId="0" fontId="3" fillId="3" borderId="0" applyAlignment="1" pivotButton="0" quotePrefix="0" xfId="0">
      <alignment horizontal="center"/>
    </xf>
    <xf numFmtId="0" fontId="4" fillId="4" borderId="0" pivotButton="0" quotePrefix="0" xfId="0"/>
    <xf numFmtId="0" fontId="0" fillId="4" borderId="0" pivotButton="0" quotePrefix="0" xfId="0"/>
    <xf numFmtId="0" fontId="5" fillId="0" borderId="1" pivotButton="0" quotePrefix="0" xfId="0"/>
    <xf numFmtId="0" fontId="6" fillId="0" borderId="1" pivotButton="0" quotePrefix="0" xfId="0"/>
    <xf numFmtId="164" fontId="7" fillId="0" borderId="1" applyAlignment="1" pivotButton="0" quotePrefix="0" xfId="0">
      <alignment horizontal="right"/>
    </xf>
    <xf numFmtId="164" fontId="8" fillId="0" borderId="1" applyAlignment="1" pivotButton="0" quotePrefix="0" xfId="0">
      <alignment horizontal="right"/>
    </xf>
    <xf numFmtId="165" fontId="8" fillId="0" borderId="1" applyAlignment="1" pivotButton="0" quotePrefix="0" xfId="0">
      <alignment horizontal="right"/>
    </xf>
    <xf numFmtId="0" fontId="0" fillId="5" borderId="2" pivotButton="0" quotePrefix="0" xfId="0"/>
    <xf numFmtId="0" fontId="4" fillId="5" borderId="2" pivotButton="0" quotePrefix="0" xfId="0"/>
    <xf numFmtId="164" fontId="4" fillId="5" borderId="2" applyAlignment="1" pivotButton="0" quotePrefix="0" xfId="0">
      <alignment horizontal="right"/>
    </xf>
    <xf numFmtId="165" fontId="4" fillId="5" borderId="2" applyAlignment="1" pivotButton="0" quotePrefix="0" xfId="0">
      <alignment horizontal="right"/>
    </xf>
    <xf numFmtId="0" fontId="9" fillId="0" borderId="0" pivotButton="0" quotePrefix="0" xfId="0"/>
    <xf numFmtId="0" fontId="10" fillId="0" borderId="0" pivotButton="0" quotePrefix="0" xfId="0"/>
    <xf numFmtId="164" fontId="8" fillId="0" borderId="0" applyAlignment="1" pivotButton="0" quotePrefix="0" xfId="0">
      <alignment horizontal="right"/>
    </xf>
    <xf numFmtId="164" fontId="7" fillId="0" borderId="0" applyAlignment="1" pivotButton="0" quotePrefix="0" xfId="0">
      <alignment horizontal="right"/>
    </xf>
    <xf numFmtId="0" fontId="0" fillId="2" borderId="3" pivotButton="0" quotePrefix="0" xfId="0"/>
    <xf numFmtId="0" fontId="11" fillId="2" borderId="3" pivotButton="0" quotePrefix="0" xfId="0"/>
    <xf numFmtId="164" fontId="11" fillId="2" borderId="3" applyAlignment="1" pivotButton="0" quotePrefix="0" xfId="0">
      <alignment horizontal="right"/>
    </xf>
    <xf numFmtId="0" fontId="11" fillId="2" borderId="0" pivotButton="0" quotePrefix="0" xfId="0"/>
    <xf numFmtId="0" fontId="4" fillId="4" borderId="0" applyAlignment="1" pivotButton="0" quotePrefix="0" xfId="0">
      <alignment horizontal="left"/>
    </xf>
    <xf numFmtId="0" fontId="4" fillId="4" borderId="0" applyAlignment="1" pivotButton="0" quotePrefix="0" xfId="0">
      <alignment horizontal="center"/>
    </xf>
    <xf numFmtId="0" fontId="5" fillId="0" borderId="1" applyAlignment="1" pivotButton="0" quotePrefix="0" xfId="0">
      <alignment horizontal="center"/>
    </xf>
    <xf numFmtId="0" fontId="12" fillId="0" borderId="1" applyAlignment="1" pivotButton="0" quotePrefix="0" xfId="0">
      <alignment horizontal="center"/>
    </xf>
    <xf numFmtId="0" fontId="4" fillId="5" borderId="0" pivotButton="0" quotePrefix="0" xfId="0"/>
    <xf numFmtId="0" fontId="4" fillId="5" borderId="0" applyAlignment="1" pivotButton="0" quotePrefix="0" xfId="0">
      <alignment horizontal="center"/>
    </xf>
    <xf numFmtId="0" fontId="6" fillId="0" borderId="1" applyAlignment="1" pivotButton="0" quotePrefix="0" xfId="0">
      <alignment horizontal="center"/>
    </xf>
    <xf numFmtId="0" fontId="13" fillId="0" borderId="1" applyAlignment="1" pivotButton="0" quotePrefix="0" xfId="0">
      <alignment horizontal="center"/>
    </xf>
    <xf numFmtId="0" fontId="14" fillId="0" borderId="1" applyAlignment="1" pivotButton="0" quotePrefix="0" xfId="0">
      <alignment horizontal="center"/>
    </xf>
    <xf numFmtId="0" fontId="15" fillId="0" borderId="1" applyAlignment="1" pivotButton="0" quotePrefix="0" xfId="0">
      <alignment horizontal="center"/>
    </xf>
    <xf numFmtId="0" fontId="10" fillId="0" borderId="1" applyAlignment="1" pivotButton="0" quotePrefix="0" xfId="0">
      <alignment horizontal="center"/>
    </xf>
    <xf numFmtId="0" fontId="4" fillId="0" borderId="0" pivotButton="0" quotePrefix="0" xfId="0"/>
    <xf numFmtId="0" fontId="4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C9A84C"/>
    <outlinePr summaryBelow="1" summaryRight="1"/>
    <pageSetUpPr/>
  </sheetPr>
  <dimension ref="A1:F51"/>
  <sheetViews>
    <sheetView workbookViewId="0">
      <selection activeCell="A1" sqref="A1"/>
    </sheetView>
  </sheetViews>
  <sheetFormatPr baseColWidth="8" defaultRowHeight="15"/>
  <cols>
    <col width="10" customWidth="1" min="1" max="1"/>
    <col width="35" customWidth="1" min="2" max="2"/>
    <col width="18" customWidth="1" min="3" max="3"/>
    <col width="18" customWidth="1" min="4" max="4"/>
    <col width="18" customWidth="1" min="5" max="5"/>
    <col width="12" customWidth="1" min="6" max="6"/>
  </cols>
  <sheetData>
    <row r="1">
      <c r="A1" s="1" t="inlineStr">
        <is>
          <t>NAPKIN PRODUCER AMPLIFIER — MASTER BUDGET</t>
        </is>
      </c>
      <c r="B1" s="2" t="n"/>
      <c r="C1" s="2" t="n"/>
      <c r="D1" s="2" t="n"/>
      <c r="E1" s="2" t="n"/>
      <c r="F1" s="2" t="n"/>
    </row>
    <row r="2">
      <c r="A2" s="3" t="inlineStr">
        <is>
          <t>Production: [PROJECT NAME]  |  Date: 2026-02-14  |  Prepared by: [PRODUCER]</t>
        </is>
      </c>
      <c r="B2" s="2" t="n"/>
      <c r="C2" s="2" t="n"/>
      <c r="D2" s="2" t="n"/>
      <c r="E2" s="2" t="n"/>
      <c r="F2" s="2" t="n"/>
    </row>
    <row r="4">
      <c r="A4" s="4" t="inlineStr">
        <is>
          <t>Acct</t>
        </is>
      </c>
      <c r="B4" s="4" t="inlineStr">
        <is>
          <t>Category</t>
        </is>
      </c>
      <c r="C4" s="5" t="inlineStr">
        <is>
          <t>Budget</t>
        </is>
      </c>
      <c r="D4" s="5" t="inlineStr">
        <is>
          <t>Actual</t>
        </is>
      </c>
      <c r="E4" s="5" t="inlineStr">
        <is>
          <t>Variance</t>
        </is>
      </c>
      <c r="F4" s="5" t="inlineStr">
        <is>
          <t>Var %</t>
        </is>
      </c>
    </row>
    <row r="5">
      <c r="A5" s="6" t="inlineStr">
        <is>
          <t>ABOVE THE LINE</t>
        </is>
      </c>
      <c r="B5" s="7" t="n"/>
      <c r="C5" s="7" t="n"/>
      <c r="D5" s="7" t="n"/>
      <c r="E5" s="7" t="n"/>
      <c r="F5" s="7" t="n"/>
    </row>
    <row r="6">
      <c r="A6" s="8" t="inlineStr">
        <is>
          <t>1100</t>
        </is>
      </c>
      <c r="B6" s="9" t="inlineStr">
        <is>
          <t>Story, Rights &amp; Continuity</t>
        </is>
      </c>
      <c r="C6" s="10" t="n">
        <v>1250000</v>
      </c>
      <c r="D6" s="10" t="n">
        <v>1250000</v>
      </c>
      <c r="E6" s="11">
        <f>C6-D6</f>
        <v/>
      </c>
      <c r="F6" s="12">
        <f>IF(C6=0,0,(C6-D6)/C6)</f>
        <v/>
      </c>
    </row>
    <row r="7">
      <c r="A7" s="8" t="inlineStr">
        <is>
          <t>1200</t>
        </is>
      </c>
      <c r="B7" s="9" t="inlineStr">
        <is>
          <t>Producers Unit</t>
        </is>
      </c>
      <c r="C7" s="10" t="n">
        <v>2850000</v>
      </c>
      <c r="D7" s="10" t="n">
        <v>2720000</v>
      </c>
      <c r="E7" s="11">
        <f>C7-D7</f>
        <v/>
      </c>
      <c r="F7" s="12">
        <f>IF(C7=0,0,(C7-D7)/C7)</f>
        <v/>
      </c>
    </row>
    <row r="8">
      <c r="A8" s="8" t="inlineStr">
        <is>
          <t>1300</t>
        </is>
      </c>
      <c r="B8" s="9" t="inlineStr">
        <is>
          <t>Director</t>
        </is>
      </c>
      <c r="C8" s="10" t="n">
        <v>3500000</v>
      </c>
      <c r="D8" s="10" t="n">
        <v>3500000</v>
      </c>
      <c r="E8" s="11">
        <f>C8-D8</f>
        <v/>
      </c>
      <c r="F8" s="12">
        <f>IF(C8=0,0,(C8-D8)/C8)</f>
        <v/>
      </c>
    </row>
    <row r="9">
      <c r="A9" s="8" t="inlineStr">
        <is>
          <t>1400</t>
        </is>
      </c>
      <c r="B9" s="9" t="inlineStr">
        <is>
          <t>Cast / Principal Talent</t>
        </is>
      </c>
      <c r="C9" s="10" t="n">
        <v>5800000</v>
      </c>
      <c r="D9" s="10" t="n">
        <v>5940000</v>
      </c>
      <c r="E9" s="11">
        <f>C9-D9</f>
        <v/>
      </c>
      <c r="F9" s="12">
        <f>IF(C9=0,0,(C9-D9)/C9)</f>
        <v/>
      </c>
    </row>
    <row r="10">
      <c r="A10" s="8" t="inlineStr">
        <is>
          <t>1500</t>
        </is>
      </c>
      <c r="B10" s="9" t="inlineStr">
        <is>
          <t>Bits &amp; Stunts</t>
        </is>
      </c>
      <c r="C10" s="10" t="n">
        <v>980000</v>
      </c>
      <c r="D10" s="10" t="n">
        <v>860000</v>
      </c>
      <c r="E10" s="11">
        <f>C10-D10</f>
        <v/>
      </c>
      <c r="F10" s="12">
        <f>IF(C10=0,0,(C10-D10)/C10)</f>
        <v/>
      </c>
    </row>
    <row r="11">
      <c r="A11" s="8" t="inlineStr">
        <is>
          <t>1800</t>
        </is>
      </c>
      <c r="B11" s="9" t="inlineStr">
        <is>
          <t>ATL Travel &amp; Living</t>
        </is>
      </c>
      <c r="C11" s="10" t="n">
        <v>820000</v>
      </c>
      <c r="D11" s="10" t="n">
        <v>790000</v>
      </c>
      <c r="E11" s="11">
        <f>C11-D11</f>
        <v/>
      </c>
      <c r="F11" s="12">
        <f>IF(C11=0,0,(C11-D11)/C11)</f>
        <v/>
      </c>
    </row>
    <row r="12">
      <c r="A12" s="13" t="n"/>
      <c r="B12" s="14" t="inlineStr">
        <is>
          <t>TOTAL ABOVE THE LINE</t>
        </is>
      </c>
      <c r="C12" s="15">
        <f>SUM(C6:C11)</f>
        <v/>
      </c>
      <c r="D12" s="15">
        <f>SUM(D6:D11)</f>
        <v/>
      </c>
      <c r="E12" s="15">
        <f>C12-D12</f>
        <v/>
      </c>
      <c r="F12" s="16">
        <f>IF(C12=0,0,(C12-D12)/C12)</f>
        <v/>
      </c>
    </row>
    <row r="13">
      <c r="A13" s="6" t="inlineStr">
        <is>
          <t>BELOW THE LINE — PRODUCTION</t>
        </is>
      </c>
      <c r="B13" s="7" t="n"/>
      <c r="C13" s="7" t="n"/>
      <c r="D13" s="7" t="n"/>
      <c r="E13" s="7" t="n"/>
      <c r="F13" s="7" t="n"/>
    </row>
    <row r="14">
      <c r="A14" s="8" t="inlineStr">
        <is>
          <t>2000</t>
        </is>
      </c>
      <c r="B14" s="9" t="inlineStr">
        <is>
          <t>Production Staff</t>
        </is>
      </c>
      <c r="C14" s="10" t="n">
        <v>3200000</v>
      </c>
      <c r="D14" s="10" t="n">
        <v>3180000</v>
      </c>
      <c r="E14" s="11">
        <f>C14-D14</f>
        <v/>
      </c>
      <c r="F14" s="12">
        <f>IF(C14=0,0,(C14-D14)/C14)</f>
        <v/>
      </c>
    </row>
    <row r="15">
      <c r="A15" s="8" t="inlineStr">
        <is>
          <t>2100</t>
        </is>
      </c>
      <c r="B15" s="9" t="inlineStr">
        <is>
          <t>Extra Talent / Background</t>
        </is>
      </c>
      <c r="C15" s="10" t="n">
        <v>1400000</v>
      </c>
      <c r="D15" s="10" t="n">
        <v>1380000</v>
      </c>
      <c r="E15" s="11">
        <f>C15-D15</f>
        <v/>
      </c>
      <c r="F15" s="12">
        <f>IF(C15=0,0,(C15-D15)/C15)</f>
        <v/>
      </c>
    </row>
    <row r="16">
      <c r="A16" s="8" t="inlineStr">
        <is>
          <t>2200</t>
        </is>
      </c>
      <c r="B16" s="9" t="inlineStr">
        <is>
          <t>Set Design &amp; Art Department</t>
        </is>
      </c>
      <c r="C16" s="10" t="n">
        <v>2800000</v>
      </c>
      <c r="D16" s="10" t="n">
        <v>2950000</v>
      </c>
      <c r="E16" s="11">
        <f>C16-D16</f>
        <v/>
      </c>
      <c r="F16" s="12">
        <f>IF(C16=0,0,(C16-D16)/C16)</f>
        <v/>
      </c>
    </row>
    <row r="17">
      <c r="A17" s="8" t="inlineStr">
        <is>
          <t>2300</t>
        </is>
      </c>
      <c r="B17" s="9" t="inlineStr">
        <is>
          <t>Set Construction</t>
        </is>
      </c>
      <c r="C17" s="10" t="n">
        <v>4100000</v>
      </c>
      <c r="D17" s="10" t="n">
        <v>4350000</v>
      </c>
      <c r="E17" s="11">
        <f>C17-D17</f>
        <v/>
      </c>
      <c r="F17" s="12">
        <f>IF(C17=0,0,(C17-D17)/C17)</f>
        <v/>
      </c>
    </row>
    <row r="18">
      <c r="A18" s="8" t="inlineStr">
        <is>
          <t>2400</t>
        </is>
      </c>
      <c r="B18" s="9" t="inlineStr">
        <is>
          <t>Set Striking</t>
        </is>
      </c>
      <c r="C18" s="10" t="n">
        <v>450000</v>
      </c>
      <c r="D18" s="10" t="n">
        <v>420000</v>
      </c>
      <c r="E18" s="11">
        <f>C18-D18</f>
        <v/>
      </c>
      <c r="F18" s="12">
        <f>IF(C18=0,0,(C18-D18)/C18)</f>
        <v/>
      </c>
    </row>
    <row r="19">
      <c r="A19" s="8" t="inlineStr">
        <is>
          <t>2500</t>
        </is>
      </c>
      <c r="B19" s="9" t="inlineStr">
        <is>
          <t>Set Operations</t>
        </is>
      </c>
      <c r="C19" s="10" t="n">
        <v>1800000</v>
      </c>
      <c r="D19" s="10" t="n">
        <v>1750000</v>
      </c>
      <c r="E19" s="11">
        <f>C19-D19</f>
        <v/>
      </c>
      <c r="F19" s="12">
        <f>IF(C19=0,0,(C19-D19)/C19)</f>
        <v/>
      </c>
    </row>
    <row r="20">
      <c r="A20" s="8" t="inlineStr">
        <is>
          <t>2600</t>
        </is>
      </c>
      <c r="B20" s="9" t="inlineStr">
        <is>
          <t>Special Effects (Mechanical)</t>
        </is>
      </c>
      <c r="C20" s="10" t="n">
        <v>2400000</v>
      </c>
      <c r="D20" s="10" t="n">
        <v>2280000</v>
      </c>
      <c r="E20" s="11">
        <f>C20-D20</f>
        <v/>
      </c>
      <c r="F20" s="12">
        <f>IF(C20=0,0,(C20-D20)/C20)</f>
        <v/>
      </c>
    </row>
    <row r="21">
      <c r="A21" s="8" t="inlineStr">
        <is>
          <t>2700</t>
        </is>
      </c>
      <c r="B21" s="9" t="inlineStr">
        <is>
          <t>Set Dressing</t>
        </is>
      </c>
      <c r="C21" s="10" t="n">
        <v>1600000</v>
      </c>
      <c r="D21" s="10" t="n">
        <v>1550000</v>
      </c>
      <c r="E21" s="11">
        <f>C21-D21</f>
        <v/>
      </c>
      <c r="F21" s="12">
        <f>IF(C21=0,0,(C21-D21)/C21)</f>
        <v/>
      </c>
    </row>
    <row r="22">
      <c r="A22" s="8" t="inlineStr">
        <is>
          <t>2800</t>
        </is>
      </c>
      <c r="B22" s="9" t="inlineStr">
        <is>
          <t>Property (Props)</t>
        </is>
      </c>
      <c r="C22" s="10" t="n">
        <v>980000</v>
      </c>
      <c r="D22" s="10" t="n">
        <v>960000</v>
      </c>
      <c r="E22" s="11">
        <f>C22-D22</f>
        <v/>
      </c>
      <c r="F22" s="12">
        <f>IF(C22=0,0,(C22-D22)/C22)</f>
        <v/>
      </c>
    </row>
    <row r="23">
      <c r="A23" s="8" t="inlineStr">
        <is>
          <t>2900</t>
        </is>
      </c>
      <c r="B23" s="9" t="inlineStr">
        <is>
          <t>Wardrobe</t>
        </is>
      </c>
      <c r="C23" s="10" t="n">
        <v>1850000</v>
      </c>
      <c r="D23" s="10" t="n">
        <v>1820000</v>
      </c>
      <c r="E23" s="11">
        <f>C23-D23</f>
        <v/>
      </c>
      <c r="F23" s="12">
        <f>IF(C23=0,0,(C23-D23)/C23)</f>
        <v/>
      </c>
    </row>
    <row r="24">
      <c r="A24" s="8" t="inlineStr">
        <is>
          <t>3000</t>
        </is>
      </c>
      <c r="B24" s="9" t="inlineStr">
        <is>
          <t>Picture Vehicles</t>
        </is>
      </c>
      <c r="C24" s="10" t="n">
        <v>750000</v>
      </c>
      <c r="D24" s="10" t="n">
        <v>710000</v>
      </c>
      <c r="E24" s="11">
        <f>C24-D24</f>
        <v/>
      </c>
      <c r="F24" s="12">
        <f>IF(C24=0,0,(C24-D24)/C24)</f>
        <v/>
      </c>
    </row>
    <row r="25">
      <c r="A25" s="8" t="inlineStr">
        <is>
          <t>3100</t>
        </is>
      </c>
      <c r="B25" s="9" t="inlineStr">
        <is>
          <t>Makeup &amp; Hairdressing</t>
        </is>
      </c>
      <c r="C25" s="10" t="n">
        <v>1200000</v>
      </c>
      <c r="D25" s="10" t="n">
        <v>1180000</v>
      </c>
      <c r="E25" s="11">
        <f>C25-D25</f>
        <v/>
      </c>
      <c r="F25" s="12">
        <f>IF(C25=0,0,(C25-D25)/C25)</f>
        <v/>
      </c>
    </row>
    <row r="26">
      <c r="A26" s="8" t="inlineStr">
        <is>
          <t>3200</t>
        </is>
      </c>
      <c r="B26" s="9" t="inlineStr">
        <is>
          <t>Lighting</t>
        </is>
      </c>
      <c r="C26" s="10" t="n">
        <v>2900000</v>
      </c>
      <c r="D26" s="10" t="n">
        <v>2850000</v>
      </c>
      <c r="E26" s="11">
        <f>C26-D26</f>
        <v/>
      </c>
      <c r="F26" s="12">
        <f>IF(C26=0,0,(C26-D26)/C26)</f>
        <v/>
      </c>
    </row>
    <row r="27">
      <c r="A27" s="8" t="inlineStr">
        <is>
          <t>3300</t>
        </is>
      </c>
      <c r="B27" s="9" t="inlineStr">
        <is>
          <t>Camera</t>
        </is>
      </c>
      <c r="C27" s="10" t="n">
        <v>3100000</v>
      </c>
      <c r="D27" s="10" t="n">
        <v>3060000</v>
      </c>
      <c r="E27" s="11">
        <f>C27-D27</f>
        <v/>
      </c>
      <c r="F27" s="12">
        <f>IF(C27=0,0,(C27-D27)/C27)</f>
        <v/>
      </c>
    </row>
    <row r="28">
      <c r="A28" s="8" t="inlineStr">
        <is>
          <t>3400</t>
        </is>
      </c>
      <c r="B28" s="9" t="inlineStr">
        <is>
          <t>Production Sound</t>
        </is>
      </c>
      <c r="C28" s="10" t="n">
        <v>980000</v>
      </c>
      <c r="D28" s="10" t="n">
        <v>950000</v>
      </c>
      <c r="E28" s="11">
        <f>C28-D28</f>
        <v/>
      </c>
      <c r="F28" s="12">
        <f>IF(C28=0,0,(C28-D28)/C28)</f>
        <v/>
      </c>
    </row>
    <row r="29">
      <c r="A29" s="8" t="inlineStr">
        <is>
          <t>3500</t>
        </is>
      </c>
      <c r="B29" s="9" t="inlineStr">
        <is>
          <t>Transportation</t>
        </is>
      </c>
      <c r="C29" s="10" t="n">
        <v>2600000</v>
      </c>
      <c r="D29" s="10" t="n">
        <v>2710000</v>
      </c>
      <c r="E29" s="11">
        <f>C29-D29</f>
        <v/>
      </c>
      <c r="F29" s="12">
        <f>IF(C29=0,0,(C29-D29)/C29)</f>
        <v/>
      </c>
    </row>
    <row r="30">
      <c r="A30" s="8" t="inlineStr">
        <is>
          <t>3600</t>
        </is>
      </c>
      <c r="B30" s="9" t="inlineStr">
        <is>
          <t>Locations</t>
        </is>
      </c>
      <c r="C30" s="10" t="n">
        <v>4800000</v>
      </c>
      <c r="D30" s="10" t="n">
        <v>4620000</v>
      </c>
      <c r="E30" s="11">
        <f>C30-D30</f>
        <v/>
      </c>
      <c r="F30" s="12">
        <f>IF(C30=0,0,(C30-D30)/C30)</f>
        <v/>
      </c>
    </row>
    <row r="31">
      <c r="A31" s="8" t="inlineStr">
        <is>
          <t>3700</t>
        </is>
      </c>
      <c r="B31" s="9" t="inlineStr">
        <is>
          <t>Production Film &amp; Lab (Digital)</t>
        </is>
      </c>
      <c r="C31" s="10" t="n">
        <v>490000</v>
      </c>
      <c r="D31" s="10" t="n">
        <v>480000</v>
      </c>
      <c r="E31" s="11">
        <f>C31-D31</f>
        <v/>
      </c>
      <c r="F31" s="12">
        <f>IF(C31=0,0,(C31-D31)/C31)</f>
        <v/>
      </c>
    </row>
    <row r="32">
      <c r="A32" s="13" t="n"/>
      <c r="B32" s="14" t="inlineStr">
        <is>
          <t>TOTAL BTL PRODUCTION</t>
        </is>
      </c>
      <c r="C32" s="15">
        <f>SUM(C14:C31)</f>
        <v/>
      </c>
      <c r="D32" s="15">
        <f>SUM(D14:D31)</f>
        <v/>
      </c>
      <c r="E32" s="15">
        <f>C32-D32</f>
        <v/>
      </c>
      <c r="F32" s="16">
        <f>IF(C32=0,0,(C32-D32)/C32)</f>
        <v/>
      </c>
    </row>
    <row r="33">
      <c r="A33" s="6" t="inlineStr">
        <is>
          <t>BELOW THE LINE — POST-PRODUCTION</t>
        </is>
      </c>
      <c r="B33" s="7" t="n"/>
      <c r="C33" s="7" t="n"/>
      <c r="D33" s="7" t="n"/>
      <c r="E33" s="7" t="n"/>
      <c r="F33" s="7" t="n"/>
    </row>
    <row r="34">
      <c r="A34" s="8" t="inlineStr">
        <is>
          <t>4300</t>
        </is>
      </c>
      <c r="B34" s="9" t="inlineStr">
        <is>
          <t>Visual Effects (VFX)</t>
        </is>
      </c>
      <c r="C34" s="10" t="n">
        <v>12500000</v>
      </c>
      <c r="D34" s="10" t="n">
        <v>14100000</v>
      </c>
      <c r="E34" s="11">
        <f>C34-D34</f>
        <v/>
      </c>
      <c r="F34" s="12">
        <f>IF(C34=0,0,(C34-D34)/C34)</f>
        <v/>
      </c>
    </row>
    <row r="35">
      <c r="A35" s="8" t="inlineStr">
        <is>
          <t>4400</t>
        </is>
      </c>
      <c r="B35" s="9" t="inlineStr">
        <is>
          <t>Titles &amp; Graphics</t>
        </is>
      </c>
      <c r="C35" s="10" t="n">
        <v>350000</v>
      </c>
      <c r="D35" s="10" t="n">
        <v>320000</v>
      </c>
      <c r="E35" s="11">
        <f>C35-D35</f>
        <v/>
      </c>
      <c r="F35" s="12">
        <f>IF(C35=0,0,(C35-D35)/C35)</f>
        <v/>
      </c>
    </row>
    <row r="36">
      <c r="A36" s="8" t="inlineStr">
        <is>
          <t>4600</t>
        </is>
      </c>
      <c r="B36" s="9" t="inlineStr">
        <is>
          <t>Music</t>
        </is>
      </c>
      <c r="C36" s="10" t="n">
        <v>2200000</v>
      </c>
      <c r="D36" s="10" t="n">
        <v>1950000</v>
      </c>
      <c r="E36" s="11">
        <f>C36-D36</f>
        <v/>
      </c>
      <c r="F36" s="12">
        <f>IF(C36=0,0,(C36-D36)/C36)</f>
        <v/>
      </c>
    </row>
    <row r="37">
      <c r="A37" s="8" t="inlineStr">
        <is>
          <t>5100</t>
        </is>
      </c>
      <c r="B37" s="9" t="inlineStr">
        <is>
          <t>Editing &amp; Post Production</t>
        </is>
      </c>
      <c r="C37" s="10" t="n">
        <v>3500000</v>
      </c>
      <c r="D37" s="10" t="n">
        <v>3380000</v>
      </c>
      <c r="E37" s="11">
        <f>C37-D37</f>
        <v/>
      </c>
      <c r="F37" s="12">
        <f>IF(C37=0,0,(C37-D37)/C37)</f>
        <v/>
      </c>
    </row>
    <row r="38">
      <c r="A38" s="8" t="inlineStr">
        <is>
          <t>5200</t>
        </is>
      </c>
      <c r="B38" s="9" t="inlineStr">
        <is>
          <t>Post Sound (ADR, Foley, Mix)</t>
        </is>
      </c>
      <c r="C38" s="10" t="n">
        <v>1650000</v>
      </c>
      <c r="D38" s="10" t="n">
        <v>1600000</v>
      </c>
      <c r="E38" s="11">
        <f>C38-D38</f>
        <v/>
      </c>
      <c r="F38" s="12">
        <f>IF(C38=0,0,(C38-D38)/C38)</f>
        <v/>
      </c>
    </row>
    <row r="39">
      <c r="A39" s="13" t="n"/>
      <c r="B39" s="14" t="inlineStr">
        <is>
          <t>TOTAL BTL POST</t>
        </is>
      </c>
      <c r="C39" s="15">
        <f>SUM(C34:C38)</f>
        <v/>
      </c>
      <c r="D39" s="15">
        <f>SUM(D34:D38)</f>
        <v/>
      </c>
      <c r="E39" s="15">
        <f>C39-D39</f>
        <v/>
      </c>
      <c r="F39" s="16">
        <f>IF(C39=0,0,(C39-D39)/C39)</f>
        <v/>
      </c>
    </row>
    <row r="40">
      <c r="A40" s="6" t="inlineStr">
        <is>
          <t>OTHER COSTS</t>
        </is>
      </c>
      <c r="B40" s="7" t="n"/>
      <c r="C40" s="7" t="n"/>
      <c r="D40" s="7" t="n"/>
      <c r="E40" s="7" t="n"/>
      <c r="F40" s="7" t="n"/>
    </row>
    <row r="41">
      <c r="A41" s="8" t="inlineStr">
        <is>
          <t>6500</t>
        </is>
      </c>
      <c r="B41" s="9" t="inlineStr">
        <is>
          <t>Publicity</t>
        </is>
      </c>
      <c r="C41" s="10" t="n">
        <v>800000</v>
      </c>
      <c r="D41" s="10" t="n">
        <v>750000</v>
      </c>
      <c r="E41" s="11">
        <f>C41-D41</f>
        <v/>
      </c>
      <c r="F41" s="12">
        <f>IF(C41=0,0,(C41-D41)/C41)</f>
        <v/>
      </c>
    </row>
    <row r="42">
      <c r="A42" s="8" t="inlineStr">
        <is>
          <t>6700</t>
        </is>
      </c>
      <c r="B42" s="9" t="inlineStr">
        <is>
          <t>Insurance</t>
        </is>
      </c>
      <c r="C42" s="10" t="n">
        <v>1900000</v>
      </c>
      <c r="D42" s="10" t="n">
        <v>1900000</v>
      </c>
      <c r="E42" s="11">
        <f>C42-D42</f>
        <v/>
      </c>
      <c r="F42" s="12">
        <f>IF(C42=0,0,(C42-D42)/C42)</f>
        <v/>
      </c>
    </row>
    <row r="43">
      <c r="A43" s="8" t="inlineStr">
        <is>
          <t>6800</t>
        </is>
      </c>
      <c r="B43" s="9" t="inlineStr">
        <is>
          <t>General &amp; Administrative</t>
        </is>
      </c>
      <c r="C43" s="10" t="n">
        <v>1200000</v>
      </c>
      <c r="D43" s="10" t="n">
        <v>1150000</v>
      </c>
      <c r="E43" s="11">
        <f>C43-D43</f>
        <v/>
      </c>
      <c r="F43" s="12">
        <f>IF(C43=0,0,(C43-D43)/C43)</f>
        <v/>
      </c>
    </row>
    <row r="44">
      <c r="A44" s="8" t="inlineStr">
        <is>
          <t>7600</t>
        </is>
      </c>
      <c r="B44" s="9" t="inlineStr">
        <is>
          <t>Amortization</t>
        </is>
      </c>
      <c r="C44" s="10" t="n">
        <v>500000</v>
      </c>
      <c r="D44" s="10" t="n">
        <v>480000</v>
      </c>
      <c r="E44" s="11">
        <f>C44-D44</f>
        <v/>
      </c>
      <c r="F44" s="12">
        <f>IF(C44=0,0,(C44-D44)/C44)</f>
        <v/>
      </c>
    </row>
    <row r="45">
      <c r="A45" s="13" t="n"/>
      <c r="B45" s="14" t="inlineStr">
        <is>
          <t>TOTAL OTHER</t>
        </is>
      </c>
      <c r="C45" s="15">
        <f>SUM(C41:C44)</f>
        <v/>
      </c>
      <c r="D45" s="15">
        <f>SUM(D41:D44)</f>
        <v/>
      </c>
      <c r="E45" s="15">
        <f>C45-D45</f>
        <v/>
      </c>
      <c r="F45" s="16">
        <f>IF(C45=0,0,(C45-D45)/C45)</f>
        <v/>
      </c>
    </row>
    <row r="47">
      <c r="A47" s="13" t="n"/>
      <c r="B47" s="14" t="inlineStr">
        <is>
          <t>SUBTOTAL (BEFORE CONTINGENCY)</t>
        </is>
      </c>
      <c r="C47" s="15">
        <f>C12+C32+C39+C45</f>
        <v/>
      </c>
      <c r="D47" s="15">
        <f>D12+D32+D39+D45</f>
        <v/>
      </c>
      <c r="E47" s="15">
        <f>C47-D47</f>
        <v/>
      </c>
      <c r="F47" s="16">
        <f>IF(C47=0,0,(C47-D47)/C47)</f>
        <v/>
      </c>
    </row>
    <row r="48">
      <c r="A48" s="6" t="inlineStr">
        <is>
          <t>CONTINGENCY</t>
        </is>
      </c>
      <c r="B48" s="7" t="n"/>
      <c r="C48" s="7" t="n"/>
      <c r="D48" s="7" t="n"/>
      <c r="E48" s="7" t="n"/>
      <c r="F48" s="7" t="n"/>
    </row>
    <row r="49">
      <c r="A49" s="17" t="inlineStr">
        <is>
          <t>9000</t>
        </is>
      </c>
      <c r="B49" s="18" t="inlineStr">
        <is>
          <t>Contingency (8%)</t>
        </is>
      </c>
      <c r="C49" s="19">
        <f>C47*0.08</f>
        <v/>
      </c>
      <c r="D49" s="20" t="n">
        <v>0</v>
      </c>
      <c r="E49" s="19">
        <f>C49-D49</f>
        <v/>
      </c>
    </row>
    <row r="51">
      <c r="A51" s="21" t="n"/>
      <c r="B51" s="22" t="inlineStr">
        <is>
          <t>GRAND TOTAL</t>
        </is>
      </c>
      <c r="C51" s="23">
        <f>C47+C49</f>
        <v/>
      </c>
      <c r="D51" s="23">
        <f>D47+D49</f>
        <v/>
      </c>
      <c r="E51" s="23">
        <f>C51-D51</f>
        <v/>
      </c>
      <c r="F51" s="21" t="n"/>
    </row>
  </sheetData>
  <mergeCells count="2">
    <mergeCell ref="A2:F2"/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C9A84C"/>
    <outlinePr summaryBelow="1" summaryRight="1"/>
    <pageSetUpPr/>
  </sheetPr>
  <dimension ref="A1:I14"/>
  <sheetViews>
    <sheetView workbookViewId="0">
      <selection activeCell="A1" sqref="A1"/>
    </sheetView>
  </sheetViews>
  <sheetFormatPr baseColWidth="8" defaultRowHeight="15"/>
  <cols>
    <col width="8" customWidth="1" min="1" max="1"/>
    <col width="30" customWidth="1" min="2" max="2"/>
    <col width="12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</cols>
  <sheetData>
    <row r="1">
      <c r="A1" s="24" t="inlineStr">
        <is>
          <t>VFX BREAKDOWN BY SCENE — ACCOUNT 4300</t>
        </is>
      </c>
    </row>
    <row r="3">
      <c r="A3" s="25" t="inlineStr">
        <is>
          <t>Scene</t>
        </is>
      </c>
      <c r="B3" s="25" t="inlineStr">
        <is>
          <t>Description</t>
        </is>
      </c>
      <c r="C3" s="26" t="inlineStr">
        <is>
          <t>Shots</t>
        </is>
      </c>
      <c r="D3" s="26" t="inlineStr">
        <is>
          <t>Env Ext</t>
        </is>
      </c>
      <c r="E3" s="26" t="inlineStr">
        <is>
          <t>Creature</t>
        </is>
      </c>
      <c r="F3" s="26" t="inlineStr">
        <is>
          <t>Wire Rem</t>
        </is>
      </c>
      <c r="G3" s="26" t="inlineStr">
        <is>
          <t>Particle</t>
        </is>
      </c>
      <c r="H3" s="26" t="inlineStr">
        <is>
          <t>CG/Comp</t>
        </is>
      </c>
      <c r="I3" s="26" t="inlineStr">
        <is>
          <t>Total</t>
        </is>
      </c>
    </row>
    <row r="4">
      <c r="A4" s="27" t="inlineStr">
        <is>
          <t>01</t>
        </is>
      </c>
      <c r="B4" s="9" t="inlineStr">
        <is>
          <t>Opening — Space Station</t>
        </is>
      </c>
      <c r="C4" s="28" t="n">
        <v>22</v>
      </c>
      <c r="D4" s="10" t="n">
        <v>480000</v>
      </c>
      <c r="E4" s="10" t="n">
        <v>0</v>
      </c>
      <c r="F4" s="10" t="n">
        <v>12000</v>
      </c>
      <c r="G4" s="10" t="n">
        <v>85000</v>
      </c>
      <c r="H4" s="10" t="n">
        <v>320000</v>
      </c>
      <c r="I4" s="11">
        <f>SUM(D4:H4)</f>
        <v/>
      </c>
    </row>
    <row r="5">
      <c r="A5" s="27" t="inlineStr">
        <is>
          <t>03</t>
        </is>
      </c>
      <c r="B5" s="9" t="inlineStr">
        <is>
          <t>Desert Landing</t>
        </is>
      </c>
      <c r="C5" s="28" t="n">
        <v>8</v>
      </c>
      <c r="D5" s="10" t="n">
        <v>180000</v>
      </c>
      <c r="E5" s="10" t="n">
        <v>0</v>
      </c>
      <c r="F5" s="10" t="n">
        <v>8000</v>
      </c>
      <c r="G5" s="10" t="n">
        <v>45000</v>
      </c>
      <c r="H5" s="10" t="n">
        <v>60000</v>
      </c>
      <c r="I5" s="11">
        <f>SUM(D5:H5)</f>
        <v/>
      </c>
    </row>
    <row r="6">
      <c r="A6" s="27" t="inlineStr">
        <is>
          <t>05</t>
        </is>
      </c>
      <c r="B6" s="9" t="inlineStr">
        <is>
          <t>Storm Sequence</t>
        </is>
      </c>
      <c r="C6" s="28" t="n">
        <v>35</v>
      </c>
      <c r="D6" s="10" t="n">
        <v>620000</v>
      </c>
      <c r="E6" s="10" t="n">
        <v>180000</v>
      </c>
      <c r="F6" s="10" t="n">
        <v>22000</v>
      </c>
      <c r="G6" s="10" t="n">
        <v>280000</v>
      </c>
      <c r="H6" s="10" t="n">
        <v>450000</v>
      </c>
      <c r="I6" s="11">
        <f>SUM(D6:H6)</f>
        <v/>
      </c>
    </row>
    <row r="7">
      <c r="A7" s="27" t="inlineStr">
        <is>
          <t>07</t>
        </is>
      </c>
      <c r="B7" s="9" t="inlineStr">
        <is>
          <t>Desert Chase — Dawn Ambush</t>
        </is>
      </c>
      <c r="C7" s="28" t="n">
        <v>14</v>
      </c>
      <c r="D7" s="10" t="n">
        <v>340000</v>
      </c>
      <c r="E7" s="10" t="n">
        <v>280000</v>
      </c>
      <c r="F7" s="10" t="n">
        <v>18000</v>
      </c>
      <c r="G7" s="10" t="n">
        <v>45000</v>
      </c>
      <c r="H7" s="10" t="n">
        <v>0</v>
      </c>
      <c r="I7" s="11">
        <f>SUM(D7:H7)</f>
        <v/>
      </c>
    </row>
    <row r="8">
      <c r="A8" s="27" t="inlineStr">
        <is>
          <t>09</t>
        </is>
      </c>
      <c r="B8" s="9" t="inlineStr">
        <is>
          <t>Creature Encounter</t>
        </is>
      </c>
      <c r="C8" s="28" t="n">
        <v>28</v>
      </c>
      <c r="D8" s="10" t="n">
        <v>120000</v>
      </c>
      <c r="E8" s="10" t="n">
        <v>890000</v>
      </c>
      <c r="F8" s="10" t="n">
        <v>35000</v>
      </c>
      <c r="G8" s="10" t="n">
        <v>95000</v>
      </c>
      <c r="H8" s="10" t="n">
        <v>280000</v>
      </c>
      <c r="I8" s="11">
        <f>SUM(D8:H8)</f>
        <v/>
      </c>
    </row>
    <row r="9">
      <c r="A9" s="27" t="inlineStr">
        <is>
          <t>11</t>
        </is>
      </c>
      <c r="B9" s="9" t="inlineStr">
        <is>
          <t>City Destruction</t>
        </is>
      </c>
      <c r="C9" s="28" t="n">
        <v>45</v>
      </c>
      <c r="D9" s="10" t="n">
        <v>1200000</v>
      </c>
      <c r="E9" s="10" t="n">
        <v>0</v>
      </c>
      <c r="F9" s="10" t="n">
        <v>8000</v>
      </c>
      <c r="G9" s="10" t="n">
        <v>520000</v>
      </c>
      <c r="H9" s="10" t="n">
        <v>880000</v>
      </c>
      <c r="I9" s="11">
        <f>SUM(D9:H9)</f>
        <v/>
      </c>
    </row>
    <row r="10">
      <c r="A10" s="27" t="inlineStr">
        <is>
          <t>14</t>
        </is>
      </c>
      <c r="B10" s="9" t="inlineStr">
        <is>
          <t>Desert Finale</t>
        </is>
      </c>
      <c r="C10" s="28" t="n">
        <v>18</v>
      </c>
      <c r="D10" s="10" t="n">
        <v>450000</v>
      </c>
      <c r="E10" s="10" t="n">
        <v>340000</v>
      </c>
      <c r="F10" s="10" t="n">
        <v>28000</v>
      </c>
      <c r="G10" s="10" t="n">
        <v>180000</v>
      </c>
      <c r="H10" s="10" t="n">
        <v>220000</v>
      </c>
      <c r="I10" s="11">
        <f>SUM(D10:H10)</f>
        <v/>
      </c>
    </row>
    <row r="11">
      <c r="A11" s="27" t="inlineStr">
        <is>
          <t>16</t>
        </is>
      </c>
      <c r="B11" s="9" t="inlineStr">
        <is>
          <t>Space Battle</t>
        </is>
      </c>
      <c r="C11" s="28" t="n">
        <v>52</v>
      </c>
      <c r="D11" s="10" t="n">
        <v>280000</v>
      </c>
      <c r="E11" s="10" t="n">
        <v>0</v>
      </c>
      <c r="F11" s="10" t="n">
        <v>0</v>
      </c>
      <c r="G11" s="10" t="n">
        <v>380000</v>
      </c>
      <c r="H11" s="10" t="n">
        <v>1800000</v>
      </c>
      <c r="I11" s="11">
        <f>SUM(D11:H11)</f>
        <v/>
      </c>
    </row>
    <row r="12">
      <c r="A12" s="27" t="inlineStr">
        <is>
          <t>18</t>
        </is>
      </c>
      <c r="B12" s="9" t="inlineStr">
        <is>
          <t>Resolution — Rebuild</t>
        </is>
      </c>
      <c r="C12" s="28" t="n">
        <v>12</v>
      </c>
      <c r="D12" s="10" t="n">
        <v>380000</v>
      </c>
      <c r="E12" s="10" t="n">
        <v>0</v>
      </c>
      <c r="F12" s="10" t="n">
        <v>6000</v>
      </c>
      <c r="G12" s="10" t="n">
        <v>45000</v>
      </c>
      <c r="H12" s="10" t="n">
        <v>120000</v>
      </c>
      <c r="I12" s="11">
        <f>SUM(D12:H12)</f>
        <v/>
      </c>
    </row>
    <row r="14">
      <c r="B14" s="29" t="inlineStr">
        <is>
          <t>TOTAL VFX</t>
        </is>
      </c>
      <c r="C14" s="30">
        <f>SUM(C4:C12)</f>
        <v/>
      </c>
      <c r="D14" s="15">
        <f>SUM(D4:D12)</f>
        <v/>
      </c>
      <c r="E14" s="15">
        <f>SUM(E4:E12)</f>
        <v/>
      </c>
      <c r="F14" s="15">
        <f>SUM(F4:F12)</f>
        <v/>
      </c>
      <c r="G14" s="15">
        <f>SUM(G4:G12)</f>
        <v/>
      </c>
      <c r="H14" s="15">
        <f>SUM(H4:H12)</f>
        <v/>
      </c>
      <c r="I14" s="15">
        <f>SUM(I4:I12)</f>
        <v/>
      </c>
    </row>
  </sheetData>
  <mergeCells count="1">
    <mergeCell ref="A1:I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C9A84C"/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cols>
    <col width="8" customWidth="1" min="1" max="1"/>
    <col width="30" customWidth="1" min="2" max="2"/>
    <col width="12" customWidth="1" min="3" max="3"/>
    <col width="14" customWidth="1" min="4" max="4"/>
    <col width="14" customWidth="1" min="5" max="5"/>
    <col width="16" customWidth="1" min="6" max="6"/>
    <col width="12" customWidth="1" min="7" max="7"/>
  </cols>
  <sheetData>
    <row r="1">
      <c r="A1" s="24" t="inlineStr">
        <is>
          <t>SHOOTING SCHEDULE OVERVIEW</t>
        </is>
      </c>
    </row>
    <row r="3">
      <c r="A3" s="25" t="inlineStr">
        <is>
          <t>Scene</t>
        </is>
      </c>
      <c r="B3" s="25" t="inlineStr">
        <is>
          <t>Description</t>
        </is>
      </c>
      <c r="C3" s="26" t="inlineStr">
        <is>
          <t>Days</t>
        </is>
      </c>
      <c r="D3" s="26" t="inlineStr">
        <is>
          <t>Location</t>
        </is>
      </c>
      <c r="E3" s="26" t="inlineStr">
        <is>
          <t>INT/EXT</t>
        </is>
      </c>
      <c r="F3" s="26" t="inlineStr">
        <is>
          <t>Cast Required</t>
        </is>
      </c>
      <c r="G3" s="26" t="inlineStr">
        <is>
          <t>Risk</t>
        </is>
      </c>
    </row>
    <row r="4">
      <c r="A4" s="27" t="inlineStr">
        <is>
          <t>01</t>
        </is>
      </c>
      <c r="B4" s="9" t="inlineStr">
        <is>
          <t>Opening — Space Station</t>
        </is>
      </c>
      <c r="C4" s="28" t="n">
        <v>4</v>
      </c>
      <c r="D4" s="9" t="inlineStr">
        <is>
          <t>Stage A</t>
        </is>
      </c>
      <c r="E4" s="31" t="inlineStr">
        <is>
          <t>INT</t>
        </is>
      </c>
      <c r="F4" s="9" t="inlineStr">
        <is>
          <t>A, B</t>
        </is>
      </c>
      <c r="G4" s="32" t="inlineStr">
        <is>
          <t>LOW</t>
        </is>
      </c>
    </row>
    <row r="5">
      <c r="A5" s="27" t="inlineStr">
        <is>
          <t>03</t>
        </is>
      </c>
      <c r="B5" s="9" t="inlineStr">
        <is>
          <t>Desert Landing</t>
        </is>
      </c>
      <c r="C5" s="28" t="n">
        <v>2</v>
      </c>
      <c r="D5" s="9" t="inlineStr">
        <is>
          <t>Namibia</t>
        </is>
      </c>
      <c r="E5" s="31" t="inlineStr">
        <is>
          <t>EXT</t>
        </is>
      </c>
      <c r="F5" s="9" t="inlineStr">
        <is>
          <t>A, C</t>
        </is>
      </c>
      <c r="G5" s="33" t="inlineStr">
        <is>
          <t>MEDIUM</t>
        </is>
      </c>
    </row>
    <row r="6">
      <c r="A6" s="27" t="inlineStr">
        <is>
          <t>05</t>
        </is>
      </c>
      <c r="B6" s="9" t="inlineStr">
        <is>
          <t>Storm Sequence</t>
        </is>
      </c>
      <c r="C6" s="28" t="n">
        <v>5</v>
      </c>
      <c r="D6" s="9" t="inlineStr">
        <is>
          <t>Namibia</t>
        </is>
      </c>
      <c r="E6" s="31" t="inlineStr">
        <is>
          <t>EXT</t>
        </is>
      </c>
      <c r="F6" s="9" t="inlineStr">
        <is>
          <t>A, B, C, D</t>
        </is>
      </c>
      <c r="G6" s="34" t="inlineStr">
        <is>
          <t>HIGH</t>
        </is>
      </c>
    </row>
    <row r="7">
      <c r="A7" s="27" t="inlineStr">
        <is>
          <t>07</t>
        </is>
      </c>
      <c r="B7" s="9" t="inlineStr">
        <is>
          <t>Desert Chase — Dawn Ambush</t>
        </is>
      </c>
      <c r="C7" s="28" t="n">
        <v>3</v>
      </c>
      <c r="D7" s="9" t="inlineStr">
        <is>
          <t>Namibia</t>
        </is>
      </c>
      <c r="E7" s="31" t="inlineStr">
        <is>
          <t>EXT</t>
        </is>
      </c>
      <c r="F7" s="9" t="inlineStr">
        <is>
          <t>A, B</t>
        </is>
      </c>
      <c r="G7" s="34" t="inlineStr">
        <is>
          <t>HIGH</t>
        </is>
      </c>
    </row>
    <row r="8">
      <c r="A8" s="27" t="inlineStr">
        <is>
          <t>09</t>
        </is>
      </c>
      <c r="B8" s="9" t="inlineStr">
        <is>
          <t>Creature Encounter</t>
        </is>
      </c>
      <c r="C8" s="28" t="n">
        <v>4</v>
      </c>
      <c r="D8" s="9" t="inlineStr">
        <is>
          <t>Stage B</t>
        </is>
      </c>
      <c r="E8" s="31" t="inlineStr">
        <is>
          <t>INT/EXT</t>
        </is>
      </c>
      <c r="F8" s="9" t="inlineStr">
        <is>
          <t>A, B, C</t>
        </is>
      </c>
      <c r="G8" s="33" t="inlineStr">
        <is>
          <t>MEDIUM</t>
        </is>
      </c>
    </row>
    <row r="9">
      <c r="A9" s="27" t="inlineStr">
        <is>
          <t>11</t>
        </is>
      </c>
      <c r="B9" s="9" t="inlineStr">
        <is>
          <t>City Destruction</t>
        </is>
      </c>
      <c r="C9" s="28" t="n">
        <v>6</v>
      </c>
      <c r="D9" s="9" t="inlineStr">
        <is>
          <t>Backlot + VFX</t>
        </is>
      </c>
      <c r="E9" s="31" t="inlineStr">
        <is>
          <t>EXT</t>
        </is>
      </c>
      <c r="F9" s="9" t="inlineStr">
        <is>
          <t>A, B, D, E</t>
        </is>
      </c>
      <c r="G9" s="35" t="inlineStr">
        <is>
          <t>CRITICAL</t>
        </is>
      </c>
    </row>
    <row r="10">
      <c r="A10" s="27" t="inlineStr">
        <is>
          <t>14</t>
        </is>
      </c>
      <c r="B10" s="9" t="inlineStr">
        <is>
          <t>Desert Finale</t>
        </is>
      </c>
      <c r="C10" s="28" t="n">
        <v>3</v>
      </c>
      <c r="D10" s="9" t="inlineStr">
        <is>
          <t>Namibia</t>
        </is>
      </c>
      <c r="E10" s="31" t="inlineStr">
        <is>
          <t>EXT</t>
        </is>
      </c>
      <c r="F10" s="9" t="inlineStr">
        <is>
          <t>A, B, C</t>
        </is>
      </c>
      <c r="G10" s="34" t="inlineStr">
        <is>
          <t>HIGH</t>
        </is>
      </c>
    </row>
    <row r="11">
      <c r="A11" s="27" t="inlineStr">
        <is>
          <t>16</t>
        </is>
      </c>
      <c r="B11" s="9" t="inlineStr">
        <is>
          <t>Space Battle</t>
        </is>
      </c>
      <c r="C11" s="28" t="n">
        <v>5</v>
      </c>
      <c r="D11" s="9" t="inlineStr">
        <is>
          <t>Stage A + VFX</t>
        </is>
      </c>
      <c r="E11" s="31" t="inlineStr">
        <is>
          <t>INT</t>
        </is>
      </c>
      <c r="F11" s="9" t="inlineStr">
        <is>
          <t>A, B</t>
        </is>
      </c>
      <c r="G11" s="33" t="inlineStr">
        <is>
          <t>MEDIUM</t>
        </is>
      </c>
    </row>
    <row r="12">
      <c r="A12" s="27" t="inlineStr">
        <is>
          <t>18</t>
        </is>
      </c>
      <c r="B12" s="9" t="inlineStr">
        <is>
          <t>Resolution — Rebuild</t>
        </is>
      </c>
      <c r="C12" s="28" t="n">
        <v>2</v>
      </c>
      <c r="D12" s="9" t="inlineStr">
        <is>
          <t>Backlot</t>
        </is>
      </c>
      <c r="E12" s="31" t="inlineStr">
        <is>
          <t>EXT</t>
        </is>
      </c>
      <c r="F12" s="9" t="inlineStr">
        <is>
          <t>A, B, C, D, E</t>
        </is>
      </c>
      <c r="G12" s="32" t="inlineStr">
        <is>
          <t>LOW</t>
        </is>
      </c>
    </row>
    <row r="14">
      <c r="B14" s="36" t="inlineStr">
        <is>
          <t>TOTAL SHOOT DAYS</t>
        </is>
      </c>
      <c r="C14" s="37">
        <f>SUM(C4:C12)</f>
        <v/>
      </c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2026-02-14T15:03:44Z</dcterms:created>
  <dcterms:modified xmlns:dcterms="http://purl.org/dc/terms/" xmlns:xsi="http://www.w3.org/2001/XMLSchema-instance" xsi:type="dcterms:W3CDTF">2026-02-14T15:03:44Z</dcterms:modified>
</cp:coreProperties>
</file>